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Detailed Breakdown" sheetId="2" state="visible" r:id="rId2"/>
    <sheet xmlns:r="http://schemas.openxmlformats.org/officeDocument/2006/relationships" name="Monthly Burn Rate" sheetId="3" state="visible" r:id="rId3"/>
    <sheet xmlns:r="http://schemas.openxmlformats.org/officeDocument/2006/relationships" name="DataConnection" sheetId="4" state="visible" r:id="rId4"/>
  </sheets>
  <definedNames>
    <definedName name="TotalBudget">DataConnection!$B$2</definedName>
    <definedName name="TotalActual">DataConnection!$B$3</definedName>
    <definedName name="Remaining">DataConnection!$B$4</definedName>
    <definedName name="Personnel">DataConnection!$B$5</definedName>
    <definedName name="Hardware">DataConnection!$B$6</definedName>
    <definedName name="Software">DataConnection!$B$7</definedName>
    <definedName name="Training">DataConnection!$B$8</definedName>
    <definedName name="Contingency">DataConnection!$B$9</definedName>
    <definedName name="PersonnelPct">DataConnection!$B$10</definedName>
    <definedName name="HardwarePct">DataConnection!$B$11</definedName>
    <definedName name="SoftwarePct">DataConnection!$B$12</definedName>
    <definedName name="TrainingPct">DataConnection!$B$13</definedName>
    <definedName name="ContingencyPct">DataConnection!$B$14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9"/>
    </font>
    <font>
      <b val="1"/>
    </font>
    <font>
      <b val="1"/>
      <color rgb="001a237e"/>
      <sz val="10"/>
    </font>
    <font>
      <b val="1"/>
      <color rgb="004CAF50"/>
    </font>
    <font>
      <b val="1"/>
      <color rgb="00E53935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5F5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40" customWidth="1" min="4" max="4"/>
  </cols>
  <sheetData>
    <row r="1">
      <c r="A1" s="1" t="inlineStr">
        <is>
          <t>BUDGET BREAKDOWN</t>
        </is>
      </c>
    </row>
    <row r="2">
      <c r="A2" t="inlineStr">
        <is>
          <t>Project:</t>
        </is>
      </c>
      <c r="B2" t="inlineStr">
        <is>
          <t>Da'atSNA Community Data Platform</t>
        </is>
      </c>
    </row>
    <row r="3">
      <c r="A3" t="inlineStr">
        <is>
          <t>Date:</t>
        </is>
      </c>
      <c r="B3" t="inlineStr">
        <is>
          <t>2026-06-17</t>
        </is>
      </c>
    </row>
    <row r="4">
      <c r="A4" t="inlineStr">
        <is>
          <t>Currency:</t>
        </is>
      </c>
      <c r="B4" t="inlineStr">
        <is>
          <t>USD</t>
        </is>
      </c>
    </row>
    <row r="6">
      <c r="A6" s="2" t="inlineStr">
        <is>
          <t>CATEGORY</t>
        </is>
      </c>
      <c r="B6" s="2" t="inlineStr">
        <is>
          <t>BUDGET</t>
        </is>
      </c>
      <c r="C6" s="2" t="inlineStr">
        <is>
          <t>PERCENTAGE</t>
        </is>
      </c>
      <c r="D6" s="2" t="inlineStr">
        <is>
          <t>NOTES</t>
        </is>
      </c>
    </row>
    <row r="7">
      <c r="A7" s="3" t="inlineStr">
        <is>
          <t>Personnel</t>
        </is>
      </c>
      <c r="B7" s="4" t="n">
        <v>31000</v>
      </c>
      <c r="C7" s="5" t="n">
        <v>0.5218855218855218</v>
      </c>
      <c r="D7" s="3" t="inlineStr">
        <is>
          <t>Includes PM, Dev, QA, BA</t>
        </is>
      </c>
    </row>
    <row r="8">
      <c r="A8" t="inlineStr">
        <is>
          <t>Hardware</t>
        </is>
      </c>
      <c r="B8" s="6" t="n">
        <v>18500</v>
      </c>
      <c r="C8" s="7" t="n">
        <v>0.3114478114478115</v>
      </c>
      <c r="D8" t="inlineStr">
        <is>
          <t>Cloud, workstations, network</t>
        </is>
      </c>
    </row>
    <row r="9">
      <c r="A9" s="3" t="inlineStr">
        <is>
          <t>Software</t>
        </is>
      </c>
      <c r="B9" s="4" t="n">
        <v>1500</v>
      </c>
      <c r="C9" s="5" t="n">
        <v>0.02525252525252525</v>
      </c>
      <c r="D9" s="3" t="inlineStr">
        <is>
          <t>Licenses, tools</t>
        </is>
      </c>
    </row>
    <row r="10">
      <c r="A10" t="inlineStr">
        <is>
          <t>Training</t>
        </is>
      </c>
      <c r="B10" s="6" t="n">
        <v>3000</v>
      </c>
      <c r="C10" s="7" t="n">
        <v>0.0505050505050505</v>
      </c>
      <c r="D10" t="inlineStr">
        <is>
          <t>User training, materials</t>
        </is>
      </c>
    </row>
    <row r="11">
      <c r="A11" s="3" t="inlineStr">
        <is>
          <t>Contingency</t>
        </is>
      </c>
      <c r="B11" s="4" t="n">
        <v>5400</v>
      </c>
      <c r="C11" s="5" t="n">
        <v>0.09090909090909091</v>
      </c>
      <c r="D11" s="3" t="inlineStr">
        <is>
          <t>10% buffer of subtotal</t>
        </is>
      </c>
    </row>
    <row r="12">
      <c r="A12" s="8" t="inlineStr">
        <is>
          <t>TOTAL BUDGET</t>
        </is>
      </c>
      <c r="B12" s="9" t="n">
        <v>59400</v>
      </c>
      <c r="C12" s="10" t="n">
        <v>1</v>
      </c>
      <c r="D12" s="8" t="n"/>
    </row>
    <row r="14">
      <c r="A14" s="11" t="inlineStr">
        <is>
          <t>BUDGET VS ACTUAL</t>
        </is>
      </c>
    </row>
    <row r="15">
      <c r="A15" s="2" t="inlineStr">
        <is>
          <t>Category</t>
        </is>
      </c>
      <c r="B15" s="2" t="inlineStr">
        <is>
          <t>Budget</t>
        </is>
      </c>
      <c r="C15" s="2" t="inlineStr">
        <is>
          <t>Actual</t>
        </is>
      </c>
      <c r="D15" s="2" t="inlineStr">
        <is>
          <t>Variance</t>
        </is>
      </c>
    </row>
    <row r="16">
      <c r="A16" t="inlineStr">
        <is>
          <t>Personnel</t>
        </is>
      </c>
      <c r="B16" s="6" t="n">
        <v>31000</v>
      </c>
      <c r="C16" s="6" t="n">
        <v>28500</v>
      </c>
      <c r="D16" s="12" t="n">
        <v>-2500</v>
      </c>
    </row>
    <row r="17">
      <c r="A17" t="inlineStr">
        <is>
          <t>Hardware</t>
        </is>
      </c>
      <c r="B17" s="6" t="n">
        <v>18500</v>
      </c>
      <c r="C17" s="6" t="n">
        <v>19200</v>
      </c>
      <c r="D17" s="13" t="n">
        <v>700</v>
      </c>
    </row>
    <row r="18">
      <c r="A18" t="inlineStr">
        <is>
          <t>Software</t>
        </is>
      </c>
      <c r="B18" s="6" t="n">
        <v>1500</v>
      </c>
      <c r="C18" s="6" t="n">
        <v>1200</v>
      </c>
      <c r="D18" s="12" t="n">
        <v>-300</v>
      </c>
    </row>
    <row r="19">
      <c r="A19" t="inlineStr">
        <is>
          <t>Training</t>
        </is>
      </c>
      <c r="B19" s="6" t="n">
        <v>3000</v>
      </c>
      <c r="C19" s="6" t="n">
        <v>2800</v>
      </c>
      <c r="D19" s="12" t="n">
        <v>-200</v>
      </c>
    </row>
    <row r="20">
      <c r="A20" t="inlineStr">
        <is>
          <t>Contingency</t>
        </is>
      </c>
      <c r="B20" s="6" t="n">
        <v>5400</v>
      </c>
      <c r="C20" s="6" t="n">
        <v>2100</v>
      </c>
      <c r="D20" s="12" t="n">
        <v>-3300</v>
      </c>
    </row>
    <row r="21">
      <c r="A21" s="8" t="inlineStr">
        <is>
          <t>TOTAL</t>
        </is>
      </c>
      <c r="B21" s="9" t="n">
        <v>59400</v>
      </c>
      <c r="C21" s="9" t="n">
        <v>53800</v>
      </c>
      <c r="D21" s="9" t="n">
        <v>-5600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6" customWidth="1" min="4" max="4"/>
    <col width="16" customWidth="1" min="5" max="5"/>
  </cols>
  <sheetData>
    <row r="1">
      <c r="A1" s="2" t="inlineStr">
        <is>
          <t>CATEGORY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COST</t>
        </is>
      </c>
      <c r="E1" s="2" t="inlineStr">
        <is>
          <t>TOTAL</t>
        </is>
      </c>
    </row>
    <row r="2">
      <c r="A2" s="3" t="inlineStr">
        <is>
          <t>Personnel</t>
        </is>
      </c>
      <c r="B2" s="3" t="inlineStr">
        <is>
          <t>Project Manager</t>
        </is>
      </c>
      <c r="C2" s="3" t="n">
        <v>1</v>
      </c>
      <c r="D2" s="4" t="n">
        <v>5000</v>
      </c>
      <c r="E2" s="4">
        <f>C2*D2</f>
        <v/>
      </c>
    </row>
    <row r="3">
      <c r="A3" t="inlineStr">
        <is>
          <t>Personnel</t>
        </is>
      </c>
      <c r="B3" t="inlineStr">
        <is>
          <t>Developers</t>
        </is>
      </c>
      <c r="C3" t="n">
        <v>3</v>
      </c>
      <c r="D3" s="6" t="n">
        <v>4000</v>
      </c>
      <c r="E3" s="6">
        <f>C3*D3</f>
        <v/>
      </c>
    </row>
    <row r="4">
      <c r="A4" s="3" t="inlineStr">
        <is>
          <t>Personnel</t>
        </is>
      </c>
      <c r="B4" s="3" t="inlineStr">
        <is>
          <t>QA Engineers</t>
        </is>
      </c>
      <c r="C4" s="3" t="n">
        <v>2</v>
      </c>
      <c r="D4" s="4" t="n">
        <v>3500</v>
      </c>
      <c r="E4" s="4">
        <f>C4*D4</f>
        <v/>
      </c>
    </row>
    <row r="5">
      <c r="A5" t="inlineStr">
        <is>
          <t>Personnel</t>
        </is>
      </c>
      <c r="B5" t="inlineStr">
        <is>
          <t>Business Analysts</t>
        </is>
      </c>
      <c r="C5" t="n">
        <v>2</v>
      </c>
      <c r="D5" s="6" t="n">
        <v>3500</v>
      </c>
      <c r="E5" s="6">
        <f>C5*D5</f>
        <v/>
      </c>
    </row>
    <row r="6">
      <c r="A6" s="3" t="inlineStr">
        <is>
          <t>Personnel</t>
        </is>
      </c>
      <c r="B6" s="3" t="inlineStr">
        <is>
          <t>DevOps Engineer</t>
        </is>
      </c>
      <c r="C6" s="3" t="n">
        <v>1</v>
      </c>
      <c r="D6" s="4" t="n">
        <v>4500</v>
      </c>
      <c r="E6" s="4">
        <f>C6*D6</f>
        <v/>
      </c>
    </row>
    <row r="7">
      <c r="A7" t="inlineStr">
        <is>
          <t>Hardware</t>
        </is>
      </c>
      <c r="B7" t="inlineStr">
        <is>
          <t>Cloud Servers (annual)</t>
        </is>
      </c>
      <c r="C7" t="n">
        <v>4</v>
      </c>
      <c r="D7" s="6" t="n">
        <v>1500</v>
      </c>
      <c r="E7" s="6">
        <f>C7*D7</f>
        <v/>
      </c>
    </row>
    <row r="8">
      <c r="A8" s="3" t="inlineStr">
        <is>
          <t>Hardware</t>
        </is>
      </c>
      <c r="B8" s="3" t="inlineStr">
        <is>
          <t>Workstations</t>
        </is>
      </c>
      <c r="C8" s="3" t="n">
        <v>5</v>
      </c>
      <c r="D8" s="4" t="n">
        <v>2000</v>
      </c>
      <c r="E8" s="4">
        <f>C8*D8</f>
        <v/>
      </c>
    </row>
    <row r="9">
      <c r="A9" t="inlineStr">
        <is>
          <t>Hardware</t>
        </is>
      </c>
      <c r="B9" t="inlineStr">
        <is>
          <t>Network Equipment</t>
        </is>
      </c>
      <c r="C9" t="n">
        <v>1</v>
      </c>
      <c r="D9" s="6" t="n">
        <v>2500</v>
      </c>
      <c r="E9" s="6">
        <f>C9*D9</f>
        <v/>
      </c>
    </row>
    <row r="10">
      <c r="A10" s="3" t="inlineStr">
        <is>
          <t>Software</t>
        </is>
      </c>
      <c r="B10" s="3" t="inlineStr">
        <is>
          <t>Licenses (per user)</t>
        </is>
      </c>
      <c r="C10" s="3" t="n">
        <v>5</v>
      </c>
      <c r="D10" s="4" t="n">
        <v>200</v>
      </c>
      <c r="E10" s="4">
        <f>C10*D10</f>
        <v/>
      </c>
    </row>
    <row r="11">
      <c r="A11" t="inlineStr">
        <is>
          <t>Software</t>
        </is>
      </c>
      <c r="B11" t="inlineStr">
        <is>
          <t>Development Tools</t>
        </is>
      </c>
      <c r="C11" t="n">
        <v>1</v>
      </c>
      <c r="D11" s="6" t="n">
        <v>500</v>
      </c>
      <c r="E11" s="6">
        <f>C11*D11</f>
        <v/>
      </c>
    </row>
    <row r="12">
      <c r="A12" s="3" t="inlineStr">
        <is>
          <t>Training</t>
        </is>
      </c>
      <c r="B12" s="3" t="inlineStr">
        <is>
          <t>User Training Sessions</t>
        </is>
      </c>
      <c r="C12" s="3" t="n">
        <v>10</v>
      </c>
      <c r="D12" s="4" t="n">
        <v>300</v>
      </c>
      <c r="E12" s="4">
        <f>C12*D12</f>
        <v/>
      </c>
    </row>
    <row r="13">
      <c r="A13" t="inlineStr">
        <is>
          <t>Contingency</t>
        </is>
      </c>
      <c r="B13" t="inlineStr">
        <is>
          <t>10% Contingency Buffer</t>
        </is>
      </c>
      <c r="C13" t="n">
        <v>1</v>
      </c>
      <c r="D13" s="6" t="n">
        <v>5400</v>
      </c>
      <c r="E13" s="6">
        <f>C13*D13</f>
        <v/>
      </c>
    </row>
    <row r="14">
      <c r="A14" s="8" t="inlineStr">
        <is>
          <t>TOTAL</t>
        </is>
      </c>
      <c r="B14" s="8" t="n"/>
      <c r="C14" s="8" t="n"/>
      <c r="D14" s="8" t="n"/>
      <c r="E14" s="9">
        <f>SUM(E2:E13)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MONTH</t>
        </is>
      </c>
      <c r="B1" s="2" t="inlineStr">
        <is>
          <t>PLANNED</t>
        </is>
      </c>
      <c r="C1" s="2" t="inlineStr">
        <is>
          <t>ACTUAL</t>
        </is>
      </c>
      <c r="D1" s="2" t="inlineStr">
        <is>
          <t>CUM. PLANNED</t>
        </is>
      </c>
      <c r="E1" s="2" t="inlineStr">
        <is>
          <t>CUM. ACTUAL</t>
        </is>
      </c>
    </row>
    <row r="2">
      <c r="A2" s="3" t="inlineStr">
        <is>
          <t>January</t>
        </is>
      </c>
      <c r="B2" s="4" t="n">
        <v>5000</v>
      </c>
      <c r="C2" s="4" t="n">
        <v>4800</v>
      </c>
      <c r="D2" s="4">
        <f>B2</f>
        <v/>
      </c>
      <c r="E2" s="4">
        <f>C2</f>
        <v/>
      </c>
    </row>
    <row r="3">
      <c r="A3" t="inlineStr">
        <is>
          <t>February</t>
        </is>
      </c>
      <c r="B3" s="6" t="n">
        <v>5000</v>
      </c>
      <c r="C3" s="6" t="n">
        <v>5200</v>
      </c>
      <c r="D3" s="6">
        <f>D2+B3</f>
        <v/>
      </c>
      <c r="E3" s="6">
        <f>E2+C3</f>
        <v/>
      </c>
    </row>
    <row r="4">
      <c r="A4" s="3" t="inlineStr">
        <is>
          <t>March</t>
        </is>
      </c>
      <c r="B4" s="4" t="n">
        <v>5000</v>
      </c>
      <c r="C4" s="4" t="n">
        <v>4500</v>
      </c>
      <c r="D4" s="4">
        <f>D3+B4</f>
        <v/>
      </c>
      <c r="E4" s="4">
        <f>E3+C4</f>
        <v/>
      </c>
    </row>
    <row r="5">
      <c r="A5" t="inlineStr">
        <is>
          <t>April</t>
        </is>
      </c>
      <c r="B5" s="6" t="n">
        <v>6000</v>
      </c>
      <c r="C5" s="6" t="n">
        <v>6500</v>
      </c>
      <c r="D5" s="6">
        <f>D4+B5</f>
        <v/>
      </c>
      <c r="E5" s="6">
        <f>E4+C5</f>
        <v/>
      </c>
    </row>
    <row r="6">
      <c r="A6" s="3" t="inlineStr">
        <is>
          <t>May</t>
        </is>
      </c>
      <c r="B6" s="4" t="n">
        <v>6000</v>
      </c>
      <c r="C6" s="4" t="n">
        <v>5800</v>
      </c>
      <c r="D6" s="4">
        <f>D5+B6</f>
        <v/>
      </c>
      <c r="E6" s="4">
        <f>E5+C6</f>
        <v/>
      </c>
    </row>
    <row r="7">
      <c r="A7" t="inlineStr">
        <is>
          <t>June</t>
        </is>
      </c>
      <c r="B7" s="6" t="n">
        <v>6000</v>
      </c>
      <c r="C7" s="6" t="n">
        <v>6200</v>
      </c>
      <c r="D7" s="6">
        <f>D6+B7</f>
        <v/>
      </c>
      <c r="E7" s="6">
        <f>E6+C7</f>
        <v/>
      </c>
    </row>
    <row r="8">
      <c r="A8" s="3" t="inlineStr">
        <is>
          <t>July</t>
        </is>
      </c>
      <c r="B8" s="4" t="n">
        <v>4000</v>
      </c>
      <c r="C8" s="4" t="n">
        <v>3500</v>
      </c>
      <c r="D8" s="4">
        <f>D7+B8</f>
        <v/>
      </c>
      <c r="E8" s="4">
        <f>E7+C8</f>
        <v/>
      </c>
    </row>
    <row r="9">
      <c r="A9" t="inlineStr">
        <is>
          <t>August</t>
        </is>
      </c>
      <c r="B9" s="6" t="n">
        <v>4000</v>
      </c>
      <c r="C9" s="6" t="n">
        <v>4200</v>
      </c>
      <c r="D9" s="6">
        <f>D8+B9</f>
        <v/>
      </c>
      <c r="E9" s="6">
        <f>E8+C9</f>
        <v/>
      </c>
    </row>
    <row r="10">
      <c r="A10" s="3" t="inlineStr">
        <is>
          <t>September</t>
        </is>
      </c>
      <c r="B10" s="4" t="n">
        <v>4000</v>
      </c>
      <c r="C10" s="4" t="n">
        <v>3800</v>
      </c>
      <c r="D10" s="4">
        <f>D9+B10</f>
        <v/>
      </c>
      <c r="E10" s="4">
        <f>E9+C10</f>
        <v/>
      </c>
    </row>
    <row r="11">
      <c r="A11" t="inlineStr">
        <is>
          <t>October</t>
        </is>
      </c>
      <c r="B11" s="6" t="n">
        <v>4500</v>
      </c>
      <c r="C11" s="6" t="n">
        <v>5000</v>
      </c>
      <c r="D11" s="6">
        <f>D10+B11</f>
        <v/>
      </c>
      <c r="E11" s="6">
        <f>E10+C11</f>
        <v/>
      </c>
    </row>
    <row r="12">
      <c r="A12" s="3" t="inlineStr">
        <is>
          <t>November</t>
        </is>
      </c>
      <c r="B12" s="4" t="n">
        <v>4500</v>
      </c>
      <c r="C12" s="4" t="n">
        <v>4300</v>
      </c>
      <c r="D12" s="4">
        <f>D11+B12</f>
        <v/>
      </c>
      <c r="E12" s="4">
        <f>E11+C12</f>
        <v/>
      </c>
    </row>
    <row r="13">
      <c r="A13" t="inlineStr">
        <is>
          <t>December</t>
        </is>
      </c>
      <c r="B13" s="6" t="n">
        <v>5400</v>
      </c>
      <c r="D13" s="6">
        <f>D12+B13</f>
        <v/>
      </c>
      <c r="E1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0" customWidth="1" min="4" max="4"/>
  </cols>
  <sheetData>
    <row r="1">
      <c r="A1" s="2" t="inlineStr">
        <is>
          <t>VISIO_ITEM</t>
        </is>
      </c>
      <c r="B1" s="2" t="inlineStr">
        <is>
          <t>VALUE</t>
        </is>
      </c>
      <c r="C1" s="2" t="inlineStr">
        <is>
          <t>CATEGORY</t>
        </is>
      </c>
      <c r="D1" s="2" t="inlineStr">
        <is>
          <t>NOTE</t>
        </is>
      </c>
    </row>
    <row r="2">
      <c r="A2" s="3" t="inlineStr">
        <is>
          <t>TotalBudget</t>
        </is>
      </c>
      <c r="B2" s="3" t="n">
        <v>59400</v>
      </c>
      <c r="C2" s="3" t="inlineStr">
        <is>
          <t>Summary</t>
        </is>
      </c>
      <c r="D2" s="3" t="inlineStr">
        <is>
          <t>Linked to Visio KPI TotalBudget box</t>
        </is>
      </c>
    </row>
    <row r="3">
      <c r="A3" t="inlineStr">
        <is>
          <t>TotalActual</t>
        </is>
      </c>
      <c r="B3" t="n">
        <v>53800</v>
      </c>
      <c r="C3" t="inlineStr">
        <is>
          <t>Summary</t>
        </is>
      </c>
      <c r="D3" t="inlineStr">
        <is>
          <t>Linked to Visio KPI ActualSpend box</t>
        </is>
      </c>
    </row>
    <row r="4">
      <c r="A4" s="3" t="inlineStr">
        <is>
          <t>Remaining</t>
        </is>
      </c>
      <c r="B4" s="3" t="n">
        <v>5600</v>
      </c>
      <c r="C4" s="3" t="inlineStr">
        <is>
          <t>Summary</t>
        </is>
      </c>
      <c r="D4" s="3" t="inlineStr">
        <is>
          <t>Linked to Visio KPI Remaining box</t>
        </is>
      </c>
    </row>
    <row r="5">
      <c r="A5" t="inlineStr">
        <is>
          <t>Personnel</t>
        </is>
      </c>
      <c r="B5" t="n">
        <v>31000</v>
      </c>
      <c r="C5" t="inlineStr">
        <is>
          <t>Category</t>
        </is>
      </c>
      <c r="D5" t="inlineStr">
        <is>
          <t>Linked to Visio bar chart: Personnel bar width</t>
        </is>
      </c>
    </row>
    <row r="6">
      <c r="A6" s="3" t="inlineStr">
        <is>
          <t>Hardware</t>
        </is>
      </c>
      <c r="B6" s="3" t="n">
        <v>18500</v>
      </c>
      <c r="C6" s="3" t="inlineStr">
        <is>
          <t>Category</t>
        </is>
      </c>
      <c r="D6" s="3" t="inlineStr">
        <is>
          <t>Linked to Visio bar chart: Hardware bar width</t>
        </is>
      </c>
    </row>
    <row r="7">
      <c r="A7" t="inlineStr">
        <is>
          <t>Software</t>
        </is>
      </c>
      <c r="B7" t="n">
        <v>1500</v>
      </c>
      <c r="C7" t="inlineStr">
        <is>
          <t>Category</t>
        </is>
      </c>
      <c r="D7" t="inlineStr">
        <is>
          <t>Linked to Visio bar chart: Software bar width</t>
        </is>
      </c>
    </row>
    <row r="8">
      <c r="A8" s="3" t="inlineStr">
        <is>
          <t>Training</t>
        </is>
      </c>
      <c r="B8" s="3" t="n">
        <v>3000</v>
      </c>
      <c r="C8" s="3" t="inlineStr">
        <is>
          <t>Category</t>
        </is>
      </c>
      <c r="D8" s="3" t="inlineStr">
        <is>
          <t>Linked to Visio bar chart: Training bar width</t>
        </is>
      </c>
    </row>
    <row r="9">
      <c r="A9" t="inlineStr">
        <is>
          <t>Contingency</t>
        </is>
      </c>
      <c r="B9" t="n">
        <v>5400</v>
      </c>
      <c r="C9" t="inlineStr">
        <is>
          <t>Category</t>
        </is>
      </c>
      <c r="D9" t="inlineStr">
        <is>
          <t>Linked to Visio bar chart: Contingency bar width</t>
        </is>
      </c>
    </row>
    <row r="10">
      <c r="A10" s="3" t="inlineStr">
        <is>
          <t>PersonnelPct</t>
        </is>
      </c>
      <c r="B10" s="3" t="n">
        <v>52.2</v>
      </c>
      <c r="C10" s="3" t="inlineStr">
        <is>
          <t>Percentage</t>
        </is>
      </c>
      <c r="D10" s="3" t="inlineStr">
        <is>
          <t>Linked to Visio pie sector angle: Personnel</t>
        </is>
      </c>
    </row>
    <row r="11">
      <c r="A11" t="inlineStr">
        <is>
          <t>HardwarePct</t>
        </is>
      </c>
      <c r="B11" t="n">
        <v>31.1</v>
      </c>
      <c r="C11" t="inlineStr">
        <is>
          <t>Percentage</t>
        </is>
      </c>
      <c r="D11" t="inlineStr">
        <is>
          <t>Linked to Visio pie sector angle: Hardware</t>
        </is>
      </c>
    </row>
    <row r="12">
      <c r="A12" s="3" t="inlineStr">
        <is>
          <t>SoftwarePct</t>
        </is>
      </c>
      <c r="B12" s="3" t="n">
        <v>2.5</v>
      </c>
      <c r="C12" s="3" t="inlineStr">
        <is>
          <t>Percentage</t>
        </is>
      </c>
      <c r="D12" s="3" t="inlineStr">
        <is>
          <t>Linked to Visio pie sector angle: Software</t>
        </is>
      </c>
    </row>
    <row r="13">
      <c r="A13" t="inlineStr">
        <is>
          <t>TrainingPct</t>
        </is>
      </c>
      <c r="B13" t="n">
        <v>5.1</v>
      </c>
      <c r="C13" t="inlineStr">
        <is>
          <t>Percentage</t>
        </is>
      </c>
      <c r="D13" t="inlineStr">
        <is>
          <t>Linked to Visio pie sector angle: Training</t>
        </is>
      </c>
    </row>
    <row r="14">
      <c r="A14" s="3" t="inlineStr">
        <is>
          <t>ContingencyPct</t>
        </is>
      </c>
      <c r="B14" s="3" t="n">
        <v>9.1</v>
      </c>
      <c r="C14" s="3" t="inlineStr">
        <is>
          <t>Percentage</t>
        </is>
      </c>
      <c r="D14" s="3" t="inlineStr">
        <is>
          <t>Linked to Visio pie sector angle: Contingency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2026-06-21T10:56:47Z</dcterms:created>
  <dcterms:modified xmlns:dcterms="http://purl.org/dc/terms/" xmlns:xsi="http://www.w3.org/2001/XMLSchema-instance" xsi:type="dcterms:W3CDTF">2026-06-21T10:56:47Z</dcterms:modified>
</cp:coreProperties>
</file>